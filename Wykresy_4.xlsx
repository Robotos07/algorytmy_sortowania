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studia_aisd\algorytmy_sortowania\"/>
    </mc:Choice>
  </mc:AlternateContent>
  <xr:revisionPtr revIDLastSave="0" documentId="8_{00F10586-5090-4CAC-B818-70A1623DEB27}" xr6:coauthVersionLast="47" xr6:coauthVersionMax="47" xr10:uidLastSave="{00000000-0000-0000-0000-000000000000}"/>
  <bookViews>
    <workbookView xWindow="-120" yWindow="-120" windowWidth="29040" windowHeight="15720" activeTab="1" xr2:uid="{B6F94C2D-11D2-4D6C-AFEA-741298741330}"/>
  </bookViews>
  <sheets>
    <sheet name="Arkusz1" sheetId="1" r:id="rId1"/>
    <sheet name="Arkusz2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0" i="1" l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19" i="1"/>
  <c r="C35" i="2"/>
  <c r="C36" i="2"/>
  <c r="C23" i="2"/>
  <c r="C24" i="2"/>
  <c r="C25" i="2"/>
  <c r="C26" i="2"/>
  <c r="C27" i="2"/>
  <c r="C28" i="2"/>
  <c r="C29" i="2"/>
  <c r="C30" i="2"/>
  <c r="C31" i="2"/>
  <c r="C32" i="2"/>
  <c r="C33" i="2"/>
  <c r="C34" i="2"/>
  <c r="C22" i="2"/>
  <c r="D5" i="1"/>
  <c r="D4" i="1"/>
  <c r="D3" i="1"/>
  <c r="D2" i="1"/>
</calcChain>
</file>

<file path=xl/sharedStrings.xml><?xml version="1.0" encoding="utf-8"?>
<sst xmlns="http://schemas.openxmlformats.org/spreadsheetml/2006/main" count="4" uniqueCount="2">
  <si>
    <t>Dynamiczny</t>
  </si>
  <si>
    <t>Zachłanny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</si>
</sst>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0"/>
  </numFmts>
  <fonts count="2" x14ac:knownFonts="1">
    <font>
      <sz val="11"/>
      <color theme="1"/>
      <name val="Calibri"/>
      <family val="2"/>
      <charset val="238"/>
      <scheme val="minor"/>
    </font>
    <font>
      <sz val="11"/>
      <color rgb="FF000000"/>
      <name val="Verdana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8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Stała Ładowność, Zmienna Liczba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Arkusz1!$C$1</c:f>
              <c:strCache>
                <c:ptCount val="1"/>
                <c:pt idx="0">
                  <c:v>Dynamiczny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Arkusz1!$B$2:$B$16</c:f>
              <c:numCache>
                <c:formatCode>General</c:formatCode>
                <c:ptCount val="1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</c:numCache>
            </c:numRef>
          </c:xVal>
          <c:yVal>
            <c:numRef>
              <c:f>Arkusz1!$C$2:$C$16</c:f>
              <c:numCache>
                <c:formatCode>General</c:formatCode>
                <c:ptCount val="15"/>
                <c:pt idx="0">
                  <c:v>7.4110000059590606E-2</c:v>
                </c:pt>
                <c:pt idx="1">
                  <c:v>0.131019999753334</c:v>
                </c:pt>
                <c:pt idx="2">
                  <c:v>0.22927999998501</c:v>
                </c:pt>
                <c:pt idx="3">
                  <c:v>0.25786000005609799</c:v>
                </c:pt>
                <c:pt idx="4">
                  <c:v>0.35935000014433099</c:v>
                </c:pt>
                <c:pt idx="5">
                  <c:v>0.37781999999424398</c:v>
                </c:pt>
                <c:pt idx="6">
                  <c:v>0.49538000021129802</c:v>
                </c:pt>
                <c:pt idx="7">
                  <c:v>0.53641000013158102</c:v>
                </c:pt>
                <c:pt idx="8">
                  <c:v>0.619659999938448</c:v>
                </c:pt>
                <c:pt idx="9">
                  <c:v>0.69986000016797301</c:v>
                </c:pt>
                <c:pt idx="10">
                  <c:v>0.74424999984330498</c:v>
                </c:pt>
                <c:pt idx="11">
                  <c:v>0.81207000002905205</c:v>
                </c:pt>
                <c:pt idx="12">
                  <c:v>0.90065000003960405</c:v>
                </c:pt>
                <c:pt idx="13">
                  <c:v>0.99931000004289605</c:v>
                </c:pt>
                <c:pt idx="14">
                  <c:v>1.03691000003891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4A-41BC-B0D0-07D2BDC512FB}"/>
            </c:ext>
          </c:extLst>
        </c:ser>
        <c:ser>
          <c:idx val="1"/>
          <c:order val="1"/>
          <c:tx>
            <c:strRef>
              <c:f>Arkusz1!$D$1</c:f>
              <c:strCache>
                <c:ptCount val="1"/>
                <c:pt idx="0">
                  <c:v>Zachłanny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Arkusz1!$B$2:$B$16</c:f>
              <c:numCache>
                <c:formatCode>General</c:formatCode>
                <c:ptCount val="1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</c:numCache>
            </c:numRef>
          </c:xVal>
          <c:yVal>
            <c:numRef>
              <c:f>Arkusz1!$D$2:$D$27</c:f>
              <c:numCache>
                <c:formatCode>General</c:formatCode>
                <c:ptCount val="26"/>
                <c:pt idx="0">
                  <c:v>3.0100000003585501E-3</c:v>
                </c:pt>
                <c:pt idx="1">
                  <c:v>4.2899999243672902E-3</c:v>
                </c:pt>
                <c:pt idx="2">
                  <c:v>6.2700000853510504E-3</c:v>
                </c:pt>
                <c:pt idx="3">
                  <c:v>8.4300001617520996E-3</c:v>
                </c:pt>
                <c:pt idx="4">
                  <c:v>1.1290000111330301E-2</c:v>
                </c:pt>
                <c:pt idx="5">
                  <c:v>1.38499999593477E-2</c:v>
                </c:pt>
                <c:pt idx="6">
                  <c:v>1.8190000264439701E-2</c:v>
                </c:pt>
                <c:pt idx="7">
                  <c:v>2.11500002478715E-2</c:v>
                </c:pt>
                <c:pt idx="8">
                  <c:v>2.51800000114599E-2</c:v>
                </c:pt>
                <c:pt idx="9">
                  <c:v>2.57899999269284E-2</c:v>
                </c:pt>
                <c:pt idx="10">
                  <c:v>2.81499997072387E-2</c:v>
                </c:pt>
                <c:pt idx="11">
                  <c:v>3.0359999800566501E-2</c:v>
                </c:pt>
                <c:pt idx="12">
                  <c:v>3.44900003256043E-2</c:v>
                </c:pt>
                <c:pt idx="13">
                  <c:v>3.5939999725087497E-2</c:v>
                </c:pt>
                <c:pt idx="14">
                  <c:v>3.7410000004456302E-2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54A-41BC-B0D0-07D2BDC51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316664"/>
        <c:axId val="717314144"/>
      </c:scatterChart>
      <c:valAx>
        <c:axId val="717316664"/>
        <c:scaling>
          <c:logBase val="2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7314144"/>
        <c:crosses val="autoZero"/>
        <c:crossBetween val="midCat"/>
      </c:valAx>
      <c:valAx>
        <c:axId val="7173141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7316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Błąd Względny Stała Ładowność, Zmienna Liczba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Arkusz1!$B$2:$B$16</c:f>
              <c:numCache>
                <c:formatCode>General</c:formatCode>
                <c:ptCount val="1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</c:numCache>
            </c:numRef>
          </c:xVal>
          <c:yVal>
            <c:numRef>
              <c:f>Arkusz1!$C$19:$C$33</c:f>
              <c:numCache>
                <c:formatCode>General</c:formatCode>
                <c:ptCount val="15"/>
                <c:pt idx="0">
                  <c:v>0.9593846984490858</c:v>
                </c:pt>
                <c:pt idx="1">
                  <c:v>0.96725690785800722</c:v>
                </c:pt>
                <c:pt idx="2">
                  <c:v>0.97265352370132163</c:v>
                </c:pt>
                <c:pt idx="3">
                  <c:v>0.9673078408441862</c:v>
                </c:pt>
                <c:pt idx="4">
                  <c:v>0.96858216194018165</c:v>
                </c:pt>
                <c:pt idx="5">
                  <c:v>0.96334233243460188</c:v>
                </c:pt>
                <c:pt idx="6">
                  <c:v>0.96328071327732057</c:v>
                </c:pt>
                <c:pt idx="7">
                  <c:v>0.96057120440953114</c:v>
                </c:pt>
                <c:pt idx="8">
                  <c:v>0.95936481293941667</c:v>
                </c:pt>
                <c:pt idx="9">
                  <c:v>0.9631497729249584</c:v>
                </c:pt>
                <c:pt idx="10">
                  <c:v>0.96217668832628089</c:v>
                </c:pt>
                <c:pt idx="11">
                  <c:v>0.96261406061117838</c:v>
                </c:pt>
                <c:pt idx="12">
                  <c:v>0.96170543460379976</c:v>
                </c:pt>
                <c:pt idx="13">
                  <c:v>0.96403518455379733</c:v>
                </c:pt>
                <c:pt idx="14">
                  <c:v>0.96392165182797696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F5D-41E0-8552-09A3986EFA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313064"/>
        <c:axId val="717315224"/>
      </c:scatterChart>
      <c:valAx>
        <c:axId val="717313064"/>
        <c:scaling>
          <c:logBase val="2"/>
          <c:orientation val="minMax"/>
          <c:max val="16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7315224"/>
        <c:crosses val="autoZero"/>
        <c:crossBetween val="midCat"/>
      </c:valAx>
      <c:valAx>
        <c:axId val="71731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7313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Czas</a:t>
            </a:r>
            <a:r>
              <a:rPr lang="pl-PL" baseline="0"/>
              <a:t> Zmienna Ładowność, Stała Liczba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Arkusz2!$C$1</c:f>
              <c:strCache>
                <c:ptCount val="1"/>
                <c:pt idx="0">
                  <c:v>Dynamiczny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Arkusz2!$B$2:$B$16</c:f>
              <c:numCache>
                <c:formatCode>General</c:formatCode>
                <c:ptCount val="1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</c:numCache>
            </c:numRef>
          </c:xVal>
          <c:yVal>
            <c:numRef>
              <c:f>Arkusz2!$C$2:$C$16</c:f>
              <c:numCache>
                <c:formatCode>General</c:formatCode>
                <c:ptCount val="15"/>
                <c:pt idx="0">
                  <c:v>0.65711999995983195</c:v>
                </c:pt>
                <c:pt idx="1">
                  <c:v>1.5966399998433101</c:v>
                </c:pt>
                <c:pt idx="2">
                  <c:v>2.5238000001991101</c:v>
                </c:pt>
                <c:pt idx="3">
                  <c:v>3.4105300001101502</c:v>
                </c:pt>
                <c:pt idx="4">
                  <c:v>4.2674199998145896</c:v>
                </c:pt>
                <c:pt idx="5">
                  <c:v>5.0757900000462497</c:v>
                </c:pt>
                <c:pt idx="6">
                  <c:v>6.5656200000375904</c:v>
                </c:pt>
                <c:pt idx="7">
                  <c:v>7.2228199998789897</c:v>
                </c:pt>
                <c:pt idx="8">
                  <c:v>8.3618100001331097</c:v>
                </c:pt>
                <c:pt idx="9">
                  <c:v>9.2335900000762194</c:v>
                </c:pt>
                <c:pt idx="10">
                  <c:v>10.178549999909499</c:v>
                </c:pt>
                <c:pt idx="11">
                  <c:v>10.7571299999108</c:v>
                </c:pt>
                <c:pt idx="12">
                  <c:v>11.2252599999919</c:v>
                </c:pt>
                <c:pt idx="13">
                  <c:v>12.7244300001621</c:v>
                </c:pt>
                <c:pt idx="14">
                  <c:v>14.086179999867401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75F-48CF-B1C6-C911DE1930FA}"/>
            </c:ext>
          </c:extLst>
        </c:ser>
        <c:ser>
          <c:idx val="1"/>
          <c:order val="1"/>
          <c:tx>
            <c:strRef>
              <c:f>Arkusz2!$D$1</c:f>
              <c:strCache>
                <c:ptCount val="1"/>
                <c:pt idx="0">
                  <c:v>Zachłanny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Arkusz2!$B$2:$B$16</c:f>
              <c:numCache>
                <c:formatCode>General</c:formatCode>
                <c:ptCount val="1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</c:numCache>
            </c:numRef>
          </c:xVal>
          <c:yVal>
            <c:numRef>
              <c:f>Arkusz2!$D$2:$D$27</c:f>
              <c:numCache>
                <c:formatCode>0.00000</c:formatCode>
                <c:ptCount val="26"/>
                <c:pt idx="0">
                  <c:v>2.4660000053700001E-2</c:v>
                </c:pt>
                <c:pt idx="1">
                  <c:v>3.4860000232583802E-2</c:v>
                </c:pt>
                <c:pt idx="2">
                  <c:v>2.8159999783383599E-2</c:v>
                </c:pt>
                <c:pt idx="3">
                  <c:v>3.3639999674050999E-2</c:v>
                </c:pt>
                <c:pt idx="4">
                  <c:v>2.7019999834010301E-2</c:v>
                </c:pt>
                <c:pt idx="5">
                  <c:v>3.2199999986914897E-2</c:v>
                </c:pt>
                <c:pt idx="6">
                  <c:v>2.8369999927235701E-2</c:v>
                </c:pt>
                <c:pt idx="7">
                  <c:v>2.8849999944213701E-2</c:v>
                </c:pt>
                <c:pt idx="8">
                  <c:v>3.3360000088578E-2</c:v>
                </c:pt>
                <c:pt idx="9">
                  <c:v>3.0010000045876901E-2</c:v>
                </c:pt>
                <c:pt idx="10">
                  <c:v>2.8150000071036602E-2</c:v>
                </c:pt>
                <c:pt idx="11">
                  <c:v>3.2500000088475603E-2</c:v>
                </c:pt>
                <c:pt idx="12">
                  <c:v>2.7240000054007299E-2</c:v>
                </c:pt>
                <c:pt idx="13">
                  <c:v>2.7979999867966399E-2</c:v>
                </c:pt>
                <c:pt idx="14">
                  <c:v>3.4030000097118297E-2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75F-48CF-B1C6-C911DE1930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316664"/>
        <c:axId val="717314144"/>
      </c:scatterChart>
      <c:valAx>
        <c:axId val="717316664"/>
        <c:scaling>
          <c:logBase val="2"/>
          <c:orientation val="minMax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7314144"/>
        <c:crosses val="autoZero"/>
        <c:crossBetween val="midCat"/>
      </c:valAx>
      <c:valAx>
        <c:axId val="717314144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73166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 sz="1400" b="0" i="0" u="none" strike="noStrike" baseline="0">
                <a:effectLst/>
              </a:rPr>
              <a:t>Błąd Względny Zmienna Ładowność, Stała Liczba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rgbClr val="C0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C00000"/>
              </a:solidFill>
              <a:ln w="9525">
                <a:solidFill>
                  <a:srgbClr val="C00000"/>
                </a:solidFill>
              </a:ln>
              <a:effectLst/>
            </c:spPr>
          </c:marker>
          <c:xVal>
            <c:numRef>
              <c:f>Arkusz2!$B$2:$B$16</c:f>
              <c:numCache>
                <c:formatCode>General</c:formatCode>
                <c:ptCount val="15"/>
                <c:pt idx="0">
                  <c:v>1000</c:v>
                </c:pt>
                <c:pt idx="1">
                  <c:v>2000</c:v>
                </c:pt>
                <c:pt idx="2">
                  <c:v>3000</c:v>
                </c:pt>
                <c:pt idx="3">
                  <c:v>4000</c:v>
                </c:pt>
                <c:pt idx="4">
                  <c:v>5000</c:v>
                </c:pt>
                <c:pt idx="5">
                  <c:v>6000</c:v>
                </c:pt>
                <c:pt idx="6">
                  <c:v>7000</c:v>
                </c:pt>
                <c:pt idx="7">
                  <c:v>8000</c:v>
                </c:pt>
                <c:pt idx="8">
                  <c:v>9000</c:v>
                </c:pt>
                <c:pt idx="9">
                  <c:v>10000</c:v>
                </c:pt>
                <c:pt idx="10">
                  <c:v>11000</c:v>
                </c:pt>
                <c:pt idx="11">
                  <c:v>12000</c:v>
                </c:pt>
                <c:pt idx="12">
                  <c:v>13000</c:v>
                </c:pt>
                <c:pt idx="13">
                  <c:v>14000</c:v>
                </c:pt>
                <c:pt idx="14">
                  <c:v>15000</c:v>
                </c:pt>
              </c:numCache>
            </c:numRef>
          </c:xVal>
          <c:yVal>
            <c:numRef>
              <c:f>Arkusz2!$C$22:$C$36</c:f>
              <c:numCache>
                <c:formatCode>General</c:formatCode>
                <c:ptCount val="15"/>
                <c:pt idx="0">
                  <c:v>0.96247260765886389</c:v>
                </c:pt>
                <c:pt idx="1">
                  <c:v>0.97816664981711288</c:v>
                </c:pt>
                <c:pt idx="2">
                  <c:v>0.98884222213283068</c:v>
                </c:pt>
                <c:pt idx="3">
                  <c:v>0.99013643050406697</c:v>
                </c:pt>
                <c:pt idx="4">
                  <c:v>0.99366830547844265</c:v>
                </c:pt>
                <c:pt idx="5">
                  <c:v>0.99365615993044998</c:v>
                </c:pt>
                <c:pt idx="6">
                  <c:v>0.99567900671572929</c:v>
                </c:pt>
                <c:pt idx="7">
                  <c:v>0.99600571522692005</c:v>
                </c:pt>
                <c:pt idx="8">
                  <c:v>0.99601043313731752</c:v>
                </c:pt>
                <c:pt idx="9">
                  <c:v>0.99674990983510969</c:v>
                </c:pt>
                <c:pt idx="10">
                  <c:v>0.99723438013555099</c:v>
                </c:pt>
                <c:pt idx="11">
                  <c:v>0.99697874804071851</c:v>
                </c:pt>
                <c:pt idx="12">
                  <c:v>0.99757333014522365</c:v>
                </c:pt>
                <c:pt idx="13">
                  <c:v>0.99780108029455072</c:v>
                </c:pt>
                <c:pt idx="14">
                  <c:v>0.99758415694691971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DE3-4A92-862F-D111501E10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7313064"/>
        <c:axId val="717315224"/>
      </c:scatterChart>
      <c:valAx>
        <c:axId val="717313064"/>
        <c:scaling>
          <c:logBase val="2"/>
          <c:orientation val="minMax"/>
          <c:max val="16000"/>
          <c:min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7315224"/>
        <c:crosses val="autoZero"/>
        <c:crossBetween val="midCat"/>
      </c:valAx>
      <c:valAx>
        <c:axId val="717315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7313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19050</xdr:colOff>
      <xdr:row>1</xdr:row>
      <xdr:rowOff>47626</xdr:rowOff>
    </xdr:from>
    <xdr:to>
      <xdr:col>16</xdr:col>
      <xdr:colOff>352425</xdr:colOff>
      <xdr:row>22</xdr:row>
      <xdr:rowOff>133350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F0C82BB-9486-3EE5-4EF6-5154FA8D21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545727</xdr:colOff>
      <xdr:row>25</xdr:row>
      <xdr:rowOff>112337</xdr:rowOff>
    </xdr:from>
    <xdr:to>
      <xdr:col>16</xdr:col>
      <xdr:colOff>355227</xdr:colOff>
      <xdr:row>47</xdr:row>
      <xdr:rowOff>31376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60E677A3-B1A0-706F-EC97-D451FE778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161925</xdr:colOff>
      <xdr:row>1</xdr:row>
      <xdr:rowOff>104775</xdr:rowOff>
    </xdr:from>
    <xdr:to>
      <xdr:col>16</xdr:col>
      <xdr:colOff>495300</xdr:colOff>
      <xdr:row>22</xdr:row>
      <xdr:rowOff>190499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C19DB674-E80A-4B8D-A137-B99D53F83A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95250</xdr:colOff>
      <xdr:row>24</xdr:row>
      <xdr:rowOff>142875</xdr:rowOff>
    </xdr:from>
    <xdr:to>
      <xdr:col>16</xdr:col>
      <xdr:colOff>460561</xdr:colOff>
      <xdr:row>46</xdr:row>
      <xdr:rowOff>61914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C14C6B5F-471B-4700-9A05-5CD21432E3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D84C1-60F7-499B-A856-EC06774B6F94}">
  <dimension ref="B1:D33"/>
  <sheetViews>
    <sheetView zoomScale="85" zoomScaleNormal="85" workbookViewId="0">
      <selection activeCell="S29" sqref="S29"/>
    </sheetView>
  </sheetViews>
  <sheetFormatPr defaultRowHeight="15" x14ac:dyDescent="0.25"/>
  <cols>
    <col min="3" max="3" width="18.85546875" bestFit="1" customWidth="1"/>
    <col min="4" max="4" width="22" bestFit="1" customWidth="1"/>
  </cols>
  <sheetData>
    <row r="1" spans="2:4" x14ac:dyDescent="0.25">
      <c r="C1" s="1" t="s">
        <v>0</v>
      </c>
      <c r="D1" t="s">
        <v>1</v>
      </c>
    </row>
    <row r="2" spans="2:4" x14ac:dyDescent="0.25">
      <c r="B2">
        <v>1000</v>
      </c>
      <c r="C2">
        <v>7.4110000059590606E-2</v>
      </c>
      <c r="D2">
        <f>3.01000000035855*10^-3</f>
        <v>3.0100000003585501E-3</v>
      </c>
    </row>
    <row r="3" spans="2:4" x14ac:dyDescent="0.25">
      <c r="B3">
        <v>2000</v>
      </c>
      <c r="C3">
        <v>0.131019999753334</v>
      </c>
      <c r="D3">
        <f>4.28999992436729*10^-3</f>
        <v>4.2899999243672902E-3</v>
      </c>
    </row>
    <row r="4" spans="2:4" x14ac:dyDescent="0.25">
      <c r="B4">
        <v>3000</v>
      </c>
      <c r="C4">
        <v>0.22927999998501</v>
      </c>
      <c r="D4">
        <f>6.27000008535105*10^-3</f>
        <v>6.2700000853510504E-3</v>
      </c>
    </row>
    <row r="5" spans="2:4" x14ac:dyDescent="0.25">
      <c r="B5">
        <v>4000</v>
      </c>
      <c r="C5">
        <v>0.25786000005609799</v>
      </c>
      <c r="D5">
        <f>8.4300001617521*10^-3</f>
        <v>8.4300001617520996E-3</v>
      </c>
    </row>
    <row r="6" spans="2:4" x14ac:dyDescent="0.25">
      <c r="B6">
        <v>5000</v>
      </c>
      <c r="C6">
        <v>0.35935000014433099</v>
      </c>
      <c r="D6">
        <v>1.1290000111330301E-2</v>
      </c>
    </row>
    <row r="7" spans="2:4" x14ac:dyDescent="0.25">
      <c r="B7">
        <v>6000</v>
      </c>
      <c r="C7">
        <v>0.37781999999424398</v>
      </c>
      <c r="D7">
        <v>1.38499999593477E-2</v>
      </c>
    </row>
    <row r="8" spans="2:4" x14ac:dyDescent="0.25">
      <c r="B8">
        <v>7000</v>
      </c>
      <c r="C8">
        <v>0.49538000021129802</v>
      </c>
      <c r="D8">
        <v>1.8190000264439701E-2</v>
      </c>
    </row>
    <row r="9" spans="2:4" x14ac:dyDescent="0.25">
      <c r="B9">
        <v>8000</v>
      </c>
      <c r="C9">
        <v>0.53641000013158102</v>
      </c>
      <c r="D9">
        <v>2.11500002478715E-2</v>
      </c>
    </row>
    <row r="10" spans="2:4" x14ac:dyDescent="0.25">
      <c r="B10">
        <v>9000</v>
      </c>
      <c r="C10">
        <v>0.619659999938448</v>
      </c>
      <c r="D10">
        <v>2.51800000114599E-2</v>
      </c>
    </row>
    <row r="11" spans="2:4" x14ac:dyDescent="0.25">
      <c r="B11">
        <v>10000</v>
      </c>
      <c r="C11">
        <v>0.69986000016797301</v>
      </c>
      <c r="D11">
        <v>2.57899999269284E-2</v>
      </c>
    </row>
    <row r="12" spans="2:4" x14ac:dyDescent="0.25">
      <c r="B12">
        <v>11000</v>
      </c>
      <c r="C12">
        <v>0.74424999984330498</v>
      </c>
      <c r="D12">
        <v>2.81499997072387E-2</v>
      </c>
    </row>
    <row r="13" spans="2:4" x14ac:dyDescent="0.25">
      <c r="B13">
        <v>12000</v>
      </c>
      <c r="C13">
        <v>0.81207000002905205</v>
      </c>
      <c r="D13">
        <v>3.0359999800566501E-2</v>
      </c>
    </row>
    <row r="14" spans="2:4" x14ac:dyDescent="0.25">
      <c r="B14">
        <v>13000</v>
      </c>
      <c r="C14">
        <v>0.90065000003960405</v>
      </c>
      <c r="D14">
        <v>3.44900003256043E-2</v>
      </c>
    </row>
    <row r="15" spans="2:4" x14ac:dyDescent="0.25">
      <c r="B15">
        <v>14000</v>
      </c>
      <c r="C15">
        <v>0.99931000004289605</v>
      </c>
      <c r="D15">
        <v>3.5939999725087497E-2</v>
      </c>
    </row>
    <row r="16" spans="2:4" x14ac:dyDescent="0.25">
      <c r="B16">
        <v>15000</v>
      </c>
      <c r="C16">
        <v>1.03691000003891</v>
      </c>
      <c r="D16">
        <v>3.7410000004456302E-2</v>
      </c>
    </row>
    <row r="19" spans="3:3" x14ac:dyDescent="0.25">
      <c r="C19">
        <f>(C2-D2)/C2</f>
        <v>0.9593846984490858</v>
      </c>
    </row>
    <row r="20" spans="3:3" x14ac:dyDescent="0.25">
      <c r="C20">
        <f t="shared" ref="C20:C34" si="0">(C3-D3)/C3</f>
        <v>0.96725690785800722</v>
      </c>
    </row>
    <row r="21" spans="3:3" x14ac:dyDescent="0.25">
      <c r="C21">
        <f t="shared" si="0"/>
        <v>0.97265352370132163</v>
      </c>
    </row>
    <row r="22" spans="3:3" x14ac:dyDescent="0.25">
      <c r="C22">
        <f t="shared" si="0"/>
        <v>0.9673078408441862</v>
      </c>
    </row>
    <row r="23" spans="3:3" x14ac:dyDescent="0.25">
      <c r="C23">
        <f t="shared" si="0"/>
        <v>0.96858216194018165</v>
      </c>
    </row>
    <row r="24" spans="3:3" x14ac:dyDescent="0.25">
      <c r="C24">
        <f t="shared" si="0"/>
        <v>0.96334233243460188</v>
      </c>
    </row>
    <row r="25" spans="3:3" x14ac:dyDescent="0.25">
      <c r="C25">
        <f t="shared" si="0"/>
        <v>0.96328071327732057</v>
      </c>
    </row>
    <row r="26" spans="3:3" x14ac:dyDescent="0.25">
      <c r="C26">
        <f t="shared" si="0"/>
        <v>0.96057120440953114</v>
      </c>
    </row>
    <row r="27" spans="3:3" x14ac:dyDescent="0.25">
      <c r="C27">
        <f t="shared" si="0"/>
        <v>0.95936481293941667</v>
      </c>
    </row>
    <row r="28" spans="3:3" x14ac:dyDescent="0.25">
      <c r="C28">
        <f t="shared" si="0"/>
        <v>0.9631497729249584</v>
      </c>
    </row>
    <row r="29" spans="3:3" x14ac:dyDescent="0.25">
      <c r="C29">
        <f t="shared" si="0"/>
        <v>0.96217668832628089</v>
      </c>
    </row>
    <row r="30" spans="3:3" x14ac:dyDescent="0.25">
      <c r="C30">
        <f t="shared" si="0"/>
        <v>0.96261406061117838</v>
      </c>
    </row>
    <row r="31" spans="3:3" x14ac:dyDescent="0.25">
      <c r="C31">
        <f t="shared" si="0"/>
        <v>0.96170543460379976</v>
      </c>
    </row>
    <row r="32" spans="3:3" x14ac:dyDescent="0.25">
      <c r="C32">
        <f t="shared" si="0"/>
        <v>0.96403518455379733</v>
      </c>
    </row>
    <row r="33" spans="3:3" x14ac:dyDescent="0.25">
      <c r="C33">
        <f t="shared" si="0"/>
        <v>0.96392165182797696</v>
      </c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006C3-A691-4036-948A-E31EC58CD95E}">
  <dimension ref="B1:D36"/>
  <sheetViews>
    <sheetView tabSelected="1" workbookViewId="0">
      <selection activeCell="R21" sqref="R21"/>
    </sheetView>
  </sheetViews>
  <sheetFormatPr defaultRowHeight="15" x14ac:dyDescent="0.25"/>
  <cols>
    <col min="3" max="3" width="20.85546875" bestFit="1" customWidth="1"/>
    <col min="4" max="4" width="23" bestFit="1" customWidth="1"/>
  </cols>
  <sheetData>
    <row r="1" spans="2:4" x14ac:dyDescent="0.25">
      <c r="C1" s="1" t="s">
        <v>0</v>
      </c>
      <c r="D1" t="s">
        <v>1</v>
      </c>
    </row>
    <row r="2" spans="2:4" x14ac:dyDescent="0.25">
      <c r="B2">
        <v>1000</v>
      </c>
      <c r="C2">
        <v>0.65711999995983195</v>
      </c>
      <c r="D2" s="2">
        <v>2.4660000053700001E-2</v>
      </c>
    </row>
    <row r="3" spans="2:4" x14ac:dyDescent="0.25">
      <c r="B3">
        <v>2000</v>
      </c>
      <c r="C3">
        <v>1.5966399998433101</v>
      </c>
      <c r="D3" s="2">
        <v>3.4860000232583802E-2</v>
      </c>
    </row>
    <row r="4" spans="2:4" x14ac:dyDescent="0.25">
      <c r="B4">
        <v>3000</v>
      </c>
      <c r="C4">
        <v>2.5238000001991101</v>
      </c>
      <c r="D4" s="2">
        <v>2.8159999783383599E-2</v>
      </c>
    </row>
    <row r="5" spans="2:4" x14ac:dyDescent="0.25">
      <c r="B5">
        <v>4000</v>
      </c>
      <c r="C5">
        <v>3.4105300001101502</v>
      </c>
      <c r="D5" s="2">
        <v>3.3639999674050999E-2</v>
      </c>
    </row>
    <row r="6" spans="2:4" x14ac:dyDescent="0.25">
      <c r="B6">
        <v>5000</v>
      </c>
      <c r="C6">
        <v>4.2674199998145896</v>
      </c>
      <c r="D6" s="2">
        <v>2.7019999834010301E-2</v>
      </c>
    </row>
    <row r="7" spans="2:4" x14ac:dyDescent="0.25">
      <c r="B7">
        <v>6000</v>
      </c>
      <c r="C7">
        <v>5.0757900000462497</v>
      </c>
      <c r="D7" s="2">
        <v>3.2199999986914897E-2</v>
      </c>
    </row>
    <row r="8" spans="2:4" x14ac:dyDescent="0.25">
      <c r="B8">
        <v>7000</v>
      </c>
      <c r="C8">
        <v>6.5656200000375904</v>
      </c>
      <c r="D8" s="2">
        <v>2.8369999927235701E-2</v>
      </c>
    </row>
    <row r="9" spans="2:4" x14ac:dyDescent="0.25">
      <c r="B9">
        <v>8000</v>
      </c>
      <c r="C9">
        <v>7.2228199998789897</v>
      </c>
      <c r="D9" s="2">
        <v>2.8849999944213701E-2</v>
      </c>
    </row>
    <row r="10" spans="2:4" x14ac:dyDescent="0.25">
      <c r="B10">
        <v>9000</v>
      </c>
      <c r="C10">
        <v>8.3618100001331097</v>
      </c>
      <c r="D10" s="2">
        <v>3.3360000088578E-2</v>
      </c>
    </row>
    <row r="11" spans="2:4" x14ac:dyDescent="0.25">
      <c r="B11">
        <v>10000</v>
      </c>
      <c r="C11">
        <v>9.2335900000762194</v>
      </c>
      <c r="D11" s="2">
        <v>3.0010000045876901E-2</v>
      </c>
    </row>
    <row r="12" spans="2:4" x14ac:dyDescent="0.25">
      <c r="B12">
        <v>11000</v>
      </c>
      <c r="C12">
        <v>10.178549999909499</v>
      </c>
      <c r="D12" s="2">
        <v>2.8150000071036602E-2</v>
      </c>
    </row>
    <row r="13" spans="2:4" x14ac:dyDescent="0.25">
      <c r="B13">
        <v>12000</v>
      </c>
      <c r="C13">
        <v>10.7571299999108</v>
      </c>
      <c r="D13" s="2">
        <v>3.2500000088475603E-2</v>
      </c>
    </row>
    <row r="14" spans="2:4" x14ac:dyDescent="0.25">
      <c r="B14">
        <v>13000</v>
      </c>
      <c r="C14">
        <v>11.2252599999919</v>
      </c>
      <c r="D14" s="2">
        <v>2.7240000054007299E-2</v>
      </c>
    </row>
    <row r="15" spans="2:4" x14ac:dyDescent="0.25">
      <c r="B15">
        <v>14000</v>
      </c>
      <c r="C15">
        <v>12.7244300001621</v>
      </c>
      <c r="D15" s="2">
        <v>2.7979999867966399E-2</v>
      </c>
    </row>
    <row r="16" spans="2:4" x14ac:dyDescent="0.25">
      <c r="B16">
        <v>15000</v>
      </c>
      <c r="C16">
        <v>14.086179999867401</v>
      </c>
      <c r="D16" s="2">
        <v>3.4030000097118297E-2</v>
      </c>
    </row>
    <row r="22" spans="3:3" x14ac:dyDescent="0.25">
      <c r="C22">
        <f>(C2-D2)/C2</f>
        <v>0.96247260765886389</v>
      </c>
    </row>
    <row r="23" spans="3:3" x14ac:dyDescent="0.25">
      <c r="C23">
        <f t="shared" ref="C23:C41" si="0">(C3-D3)/C3</f>
        <v>0.97816664981711288</v>
      </c>
    </row>
    <row r="24" spans="3:3" x14ac:dyDescent="0.25">
      <c r="C24">
        <f t="shared" si="0"/>
        <v>0.98884222213283068</v>
      </c>
    </row>
    <row r="25" spans="3:3" x14ac:dyDescent="0.25">
      <c r="C25">
        <f t="shared" si="0"/>
        <v>0.99013643050406697</v>
      </c>
    </row>
    <row r="26" spans="3:3" x14ac:dyDescent="0.25">
      <c r="C26">
        <f t="shared" si="0"/>
        <v>0.99366830547844265</v>
      </c>
    </row>
    <row r="27" spans="3:3" x14ac:dyDescent="0.25">
      <c r="C27">
        <f t="shared" si="0"/>
        <v>0.99365615993044998</v>
      </c>
    </row>
    <row r="28" spans="3:3" x14ac:dyDescent="0.25">
      <c r="C28">
        <f t="shared" si="0"/>
        <v>0.99567900671572929</v>
      </c>
    </row>
    <row r="29" spans="3:3" x14ac:dyDescent="0.25">
      <c r="C29">
        <f t="shared" si="0"/>
        <v>0.99600571522692005</v>
      </c>
    </row>
    <row r="30" spans="3:3" x14ac:dyDescent="0.25">
      <c r="C30">
        <f t="shared" si="0"/>
        <v>0.99601043313731752</v>
      </c>
    </row>
    <row r="31" spans="3:3" x14ac:dyDescent="0.25">
      <c r="C31">
        <f t="shared" si="0"/>
        <v>0.99674990983510969</v>
      </c>
    </row>
    <row r="32" spans="3:3" x14ac:dyDescent="0.25">
      <c r="C32">
        <f t="shared" si="0"/>
        <v>0.99723438013555099</v>
      </c>
    </row>
    <row r="33" spans="3:3" x14ac:dyDescent="0.25">
      <c r="C33">
        <f t="shared" si="0"/>
        <v>0.99697874804071851</v>
      </c>
    </row>
    <row r="34" spans="3:3" x14ac:dyDescent="0.25">
      <c r="C34">
        <f t="shared" si="0"/>
        <v>0.99757333014522365</v>
      </c>
    </row>
    <row r="35" spans="3:3" x14ac:dyDescent="0.25">
      <c r="C35">
        <f>(C15-D15)/C15</f>
        <v>0.99780108029455072</v>
      </c>
    </row>
    <row r="36" spans="3:3" x14ac:dyDescent="0.25">
      <c r="C36">
        <f t="shared" si="0"/>
        <v>0.99758415694691971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Arkusz2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Cieślak</dc:creator>
  <cp:lastModifiedBy>Mateusz Cieślak</cp:lastModifiedBy>
  <dcterms:created xsi:type="dcterms:W3CDTF">2026-06-19T20:44:45Z</dcterms:created>
  <dcterms:modified xsi:type="dcterms:W3CDTF">2026-06-19T23:20:09Z</dcterms:modified>
</cp:coreProperties>
</file>